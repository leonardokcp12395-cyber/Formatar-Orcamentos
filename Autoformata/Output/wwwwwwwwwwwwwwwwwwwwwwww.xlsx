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35" tabRatio="600" firstSheet="0" activeTab="0" autoFilterDateGrouping="1"/>
  </bookViews>
  <sheets>
    <sheet name="SUP_SERVIÇOS" sheetId="1" state="visible" r:id="rId1"/>
  </sheets>
  <definedNames>
    <definedName name="_xlnm.Print_Area" localSheetId="0">'SUP_SERVIÇOS'!$A$1:$H$51</definedName>
  </definedNames>
  <calcPr calcId="152511" fullCalcOnLoad="1"/>
</workbook>
</file>

<file path=xl/styles.xml><?xml version="1.0" encoding="utf-8"?>
<styleSheet xmlns="http://schemas.openxmlformats.org/spreadsheetml/2006/main">
  <numFmts count="5">
    <numFmt numFmtId="164" formatCode="[$R$ -416]#,##0.00"/>
    <numFmt numFmtId="165" formatCode="&quot;R$&quot;#,##0.00"/>
    <numFmt numFmtId="166" formatCode="_-&quot;R$&quot;* #,##0.00_-;\-&quot;R$&quot;* #,##0.00_-;_-&quot;R$&quot;* &quot;-&quot;??_-;_-@_-"/>
    <numFmt numFmtId="167" formatCode="&quot;R$ &quot;#,##0.00"/>
    <numFmt numFmtId="168" formatCode="_(&quot;R$&quot;* #,##0.00_);_(&quot;R$&quot;* (#,##0.00);_(&quot;R$&quot;* &quot;-&quot;??_);_(@_)"/>
  </numFmts>
  <fonts count="25">
    <font>
      <name val="Calibri"/>
      <color rgb="FF000000"/>
      <sz val="11"/>
      <scheme val="minor"/>
    </font>
    <font>
      <name val="Arial"/>
      <family val="2"/>
      <color rgb="FF000000"/>
      <sz val="11"/>
    </font>
    <font>
      <name val="Arial"/>
      <family val="2"/>
      <sz val="11"/>
    </font>
    <font>
      <name val="Arial"/>
      <family val="2"/>
      <b val="1"/>
      <color rgb="FF000000"/>
      <sz val="15"/>
    </font>
    <font>
      <name val="Calibri"/>
      <family val="2"/>
      <b val="1"/>
      <color rgb="FF000000"/>
      <sz val="12"/>
    </font>
    <font>
      <name val="Arial"/>
      <family val="2"/>
      <b val="1"/>
      <color theme="1"/>
      <sz val="15"/>
    </font>
    <font>
      <name val="Arial"/>
      <family val="2"/>
      <color rgb="FF000000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1"/>
    </font>
    <font>
      <name val="Arial"/>
      <family val="2"/>
      <b val="1"/>
      <color theme="1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theme="1"/>
      <sz val="12"/>
    </font>
    <font>
      <name val="Calibri"/>
      <family val="2"/>
      <color rgb="FF000000"/>
      <sz val="11"/>
      <scheme val="minor"/>
    </font>
    <font>
      <name val="Arial"/>
      <b val="1"/>
      <color theme="1"/>
      <sz val="11"/>
    </font>
    <font>
      <name val="Arial"/>
      <b val="1"/>
      <color rgb="FF000000"/>
      <sz val="11"/>
    </font>
    <font>
      <name val="Arial"/>
      <color theme="1"/>
      <sz val="12"/>
    </font>
    <font>
      <name val="Arial"/>
      <b val="1"/>
      <color rgb="FF000000"/>
      <sz val="12"/>
    </font>
    <font>
      <name val="Arial"/>
      <b val="1"/>
      <sz val="11"/>
    </font>
    <font>
      <name val="Arial"/>
      <sz val="10"/>
    </font>
    <font>
      <b val="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indexed="64"/>
      </patternFill>
    </fill>
    <fill>
      <patternFill patternType="solid">
        <fgColor rgb="009BC2E6"/>
      </patternFill>
    </fill>
    <fill>
      <patternFill patternType="solid">
        <fgColor rgb="00FFFFFF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6" fillId="0" borderId="0"/>
  </cellStyleXfs>
  <cellXfs count="145">
    <xf numFmtId="0" fontId="0" fillId="0" borderId="0" pivotButton="0" quotePrefix="0" xfId="0"/>
    <xf numFmtId="0" fontId="0" fillId="0" borderId="0" pivotButton="0" quotePrefix="0" xfId="0"/>
    <xf numFmtId="164" fontId="13" fillId="2" borderId="12" applyAlignment="1" pivotButton="0" quotePrefix="0" xfId="0">
      <alignment horizontal="left" vertical="center" wrapText="1"/>
    </xf>
    <xf numFmtId="0" fontId="13" fillId="0" borderId="6" pivotButton="0" quotePrefix="0" xfId="0"/>
    <xf numFmtId="0" fontId="13" fillId="0" borderId="11" pivotButton="0" quotePrefix="0" xfId="0"/>
    <xf numFmtId="49" fontId="12" fillId="0" borderId="1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4" fontId="12" fillId="0" borderId="13" applyAlignment="1" pivotButton="0" quotePrefix="0" xfId="0">
      <alignment horizontal="center" vertical="center" wrapText="1"/>
    </xf>
    <xf numFmtId="164" fontId="12" fillId="0" borderId="13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right" vertical="center"/>
    </xf>
    <xf numFmtId="49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 wrapText="1"/>
    </xf>
    <xf numFmtId="49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 wrapText="1"/>
    </xf>
    <xf numFmtId="49" fontId="12" fillId="5" borderId="16" applyAlignment="1" pivotButton="0" quotePrefix="0" xfId="0">
      <alignment horizontal="center" vertical="center" wrapText="1"/>
    </xf>
    <xf numFmtId="0" fontId="12" fillId="5" borderId="16" applyAlignment="1" pivotButton="0" quotePrefix="0" xfId="0">
      <alignment horizontal="center" vertical="center" wrapText="1"/>
    </xf>
    <xf numFmtId="0" fontId="12" fillId="5" borderId="16" applyAlignment="1" pivotButton="0" quotePrefix="0" xfId="0">
      <alignment horizontal="left" vertical="center" wrapText="1"/>
    </xf>
    <xf numFmtId="2" fontId="12" fillId="5" borderId="16" applyAlignment="1" pivotButton="0" quotePrefix="0" xfId="0">
      <alignment horizontal="center" vertical="center" wrapText="1"/>
    </xf>
    <xf numFmtId="165" fontId="12" fillId="5" borderId="16" applyAlignment="1" pivotButton="0" quotePrefix="0" xfId="0">
      <alignment horizontal="center" vertical="center" wrapText="1"/>
    </xf>
    <xf numFmtId="166" fontId="12" fillId="5" borderId="16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center"/>
    </xf>
    <xf numFmtId="0" fontId="2" fillId="0" borderId="5" pivotButton="0" quotePrefix="0" xfId="0"/>
    <xf numFmtId="0" fontId="9" fillId="0" borderId="12" applyAlignment="1" pivotButton="0" quotePrefix="0" xfId="0">
      <alignment horizontal="left" vertical="center"/>
    </xf>
    <xf numFmtId="0" fontId="0" fillId="0" borderId="12" pivotButton="0" quotePrefix="0" xfId="0"/>
    <xf numFmtId="49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7" pivotButton="0" quotePrefix="0" xfId="0"/>
    <xf numFmtId="0" fontId="0" fillId="0" borderId="0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2" fillId="0" borderId="6" pivotButton="0" quotePrefix="0" xfId="0"/>
    <xf numFmtId="164" fontId="4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10" fillId="4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164" fontId="13" fillId="2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13" fillId="0" borderId="5" pivotButton="0" quotePrefix="0" xfId="0"/>
    <xf numFmtId="0" fontId="13" fillId="0" borderId="6" pivotButton="0" quotePrefix="0" xfId="0"/>
    <xf numFmtId="0" fontId="14" fillId="0" borderId="5" pivotButton="0" quotePrefix="0" xfId="0"/>
    <xf numFmtId="0" fontId="14" fillId="0" borderId="6" pivotButton="0" quotePrefix="0" xfId="0"/>
    <xf numFmtId="49" fontId="12" fillId="0" borderId="9" applyAlignment="1" pivotButton="0" quotePrefix="0" xfId="0">
      <alignment horizontal="right" vertical="center"/>
    </xf>
    <xf numFmtId="49" fontId="12" fillId="0" borderId="4" applyAlignment="1" pivotButton="0" quotePrefix="0" xfId="0">
      <alignment horizontal="right" vertical="center"/>
    </xf>
    <xf numFmtId="0" fontId="6" fillId="3" borderId="1" applyAlignment="1" pivotButton="0" quotePrefix="0" xfId="1">
      <alignment horizontal="center" vertical="center" wrapText="1"/>
    </xf>
    <xf numFmtId="0" fontId="2" fillId="0" borderId="2" pivotButton="0" quotePrefix="0" xfId="1"/>
    <xf numFmtId="0" fontId="2" fillId="0" borderId="3" pivotButton="0" quotePrefix="0" xfId="1"/>
    <xf numFmtId="0" fontId="16" fillId="0" borderId="0" pivotButton="0" quotePrefix="0" xfId="1"/>
    <xf numFmtId="49" fontId="12" fillId="0" borderId="22" applyAlignment="1" pivotButton="0" quotePrefix="0" xfId="1">
      <alignment horizontal="center" vertical="center" wrapText="1"/>
    </xf>
    <xf numFmtId="0" fontId="2" fillId="0" borderId="23" pivotButton="0" quotePrefix="0" xfId="1"/>
    <xf numFmtId="0" fontId="2" fillId="0" borderId="24" pivotButton="0" quotePrefix="0" xfId="1"/>
    <xf numFmtId="49" fontId="15" fillId="0" borderId="22" applyAlignment="1" pivotButton="0" quotePrefix="0" xfId="1">
      <alignment horizontal="center" vertical="center" wrapText="1"/>
    </xf>
    <xf numFmtId="0" fontId="16" fillId="0" borderId="23" pivotButton="0" quotePrefix="0" xfId="1"/>
    <xf numFmtId="0" fontId="16" fillId="0" borderId="24" pivotButton="0" quotePrefix="0" xfId="1"/>
    <xf numFmtId="0" fontId="16" fillId="0" borderId="17" pivotButton="0" quotePrefix="0" xfId="1"/>
    <xf numFmtId="0" fontId="16" fillId="0" borderId="0" pivotButton="0" quotePrefix="0" xfId="1"/>
    <xf numFmtId="0" fontId="16" fillId="0" borderId="18" pivotButton="0" quotePrefix="0" xfId="1"/>
    <xf numFmtId="0" fontId="16" fillId="0" borderId="19" pivotButton="0" quotePrefix="0" xfId="1"/>
    <xf numFmtId="0" fontId="16" fillId="0" borderId="20" pivotButton="0" quotePrefix="0" xfId="1"/>
    <xf numFmtId="0" fontId="16" fillId="0" borderId="21" pivotButton="0" quotePrefix="0" xfId="1"/>
    <xf numFmtId="49" fontId="1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4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17" fillId="0" borderId="12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17" fillId="0" borderId="4" applyAlignment="1" pivotButton="0" quotePrefix="0" xfId="0">
      <alignment vertical="center"/>
    </xf>
    <xf numFmtId="0" fontId="10" fillId="4" borderId="12" applyAlignment="1" pivotButton="0" quotePrefix="0" xfId="0">
      <alignment horizontal="center" vertical="center" wrapText="1"/>
    </xf>
    <xf numFmtId="0" fontId="18" fillId="2" borderId="12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 wrapText="1"/>
    </xf>
    <xf numFmtId="164" fontId="20" fillId="2" borderId="12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0" fillId="0" borderId="14" pivotButton="0" quotePrefix="0" xfId="0"/>
    <xf numFmtId="0" fontId="20" fillId="0" borderId="6" pivotButton="0" quotePrefix="0" xfId="0"/>
    <xf numFmtId="0" fontId="0" fillId="0" borderId="15" pivotButton="0" quotePrefix="0" xfId="0"/>
    <xf numFmtId="49" fontId="21" fillId="6" borderId="27" applyAlignment="1" pivotButton="0" quotePrefix="0" xfId="0">
      <alignment horizontal="center" vertical="center"/>
    </xf>
    <xf numFmtId="0" fontId="21" fillId="6" borderId="27" applyAlignment="1" pivotButton="0" quotePrefix="0" xfId="0">
      <alignment horizontal="center" vertical="center"/>
    </xf>
    <xf numFmtId="0" fontId="21" fillId="6" borderId="27" applyAlignment="1" pivotButton="0" quotePrefix="0" xfId="0">
      <alignment horizontal="left" vertical="center" wrapText="1"/>
    </xf>
    <xf numFmtId="2" fontId="21" fillId="6" borderId="27" applyAlignment="1" pivotButton="0" quotePrefix="0" xfId="0">
      <alignment horizontal="center" vertical="center"/>
    </xf>
    <xf numFmtId="165" fontId="21" fillId="6" borderId="27" applyAlignment="1" pivotButton="0" quotePrefix="0" xfId="0">
      <alignment horizontal="center" vertical="center"/>
    </xf>
    <xf numFmtId="168" fontId="23" fillId="6" borderId="27" applyAlignment="1" pivotButton="0" quotePrefix="0" xfId="0">
      <alignment horizontal="right" vertical="center"/>
    </xf>
    <xf numFmtId="49" fontId="22" fillId="7" borderId="27" applyAlignment="1" pivotButton="0" quotePrefix="0" xfId="0">
      <alignment horizontal="center" vertical="center"/>
    </xf>
    <xf numFmtId="0" fontId="22" fillId="7" borderId="27" applyAlignment="1" pivotButton="0" quotePrefix="0" xfId="0">
      <alignment horizontal="center" vertical="center"/>
    </xf>
    <xf numFmtId="0" fontId="22" fillId="7" borderId="27" applyAlignment="1" pivotButton="0" quotePrefix="0" xfId="0">
      <alignment horizontal="left" vertical="center" wrapText="1"/>
    </xf>
    <xf numFmtId="2" fontId="22" fillId="7" borderId="27" applyAlignment="1" pivotButton="0" quotePrefix="0" xfId="0">
      <alignment horizontal="center" vertical="center"/>
    </xf>
    <xf numFmtId="167" fontId="22" fillId="7" borderId="27" applyAlignment="1" pivotButton="0" quotePrefix="0" xfId="0">
      <alignment horizontal="center" vertical="center"/>
    </xf>
    <xf numFmtId="168" fontId="22" fillId="7" borderId="27" applyAlignment="1" pivotButton="0" quotePrefix="0" xfId="0">
      <alignment horizontal="right" vertical="center"/>
    </xf>
    <xf numFmtId="0" fontId="21" fillId="6" borderId="27" applyAlignment="1" pivotButton="0" quotePrefix="0" xfId="1">
      <alignment horizontal="center" vertical="center"/>
    </xf>
    <xf numFmtId="49" fontId="22" fillId="7" borderId="27" applyAlignment="1" pivotButton="0" quotePrefix="0" xfId="1">
      <alignment horizontal="center" vertical="center"/>
    </xf>
    <xf numFmtId="49" fontId="12" fillId="0" borderId="15" applyAlignment="1" pivotButton="0" quotePrefix="0" xfId="0">
      <alignment horizontal="right" vertical="center"/>
    </xf>
    <xf numFmtId="168" fontId="24" fillId="0" borderId="11" applyAlignment="1" pivotButton="0" quotePrefix="0" xfId="0">
      <alignment horizontal="right" vertical="center"/>
    </xf>
    <xf numFmtId="49" fontId="12" fillId="0" borderId="12" applyAlignment="1" pivotButton="0" quotePrefix="0" xfId="0">
      <alignment horizontal="right" vertical="center"/>
    </xf>
    <xf numFmtId="0" fontId="6" fillId="3" borderId="13" applyAlignment="1" pivotButton="0" quotePrefix="0" xfId="0">
      <alignment horizontal="center" vertical="center" wrapText="1"/>
    </xf>
    <xf numFmtId="49" fontId="12" fillId="0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49" fontId="15" fillId="0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95250</colOff>
      <row>0</row>
      <rowOff>0</rowOff>
    </from>
    <to>
      <col>7</col>
      <colOff>984786</colOff>
      <row>4</row>
      <rowOff>271277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25400" y="0"/>
          <a:ext cx="2042061" cy="1528577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723900</colOff>
      <row>0</row>
      <rowOff>104775</rowOff>
    </from>
    <ext cx="876300" cy="1209675"/>
    <pic>
      <nvPicPr>
        <cNvPr id="2" name="image1.jp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723900" y="104775"/>
          <a:ext cx="876300" cy="12096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8"/>
  <sheetViews>
    <sheetView tabSelected="1" topLeftCell="A13" zoomScale="55" zoomScaleNormal="55" workbookViewId="0">
      <selection activeCell="A28" sqref="A28:G28"/>
    </sheetView>
  </sheetViews>
  <sheetFormatPr baseColWidth="8" defaultColWidth="14.42578125" defaultRowHeight="15" customHeight="1"/>
  <cols>
    <col width="11.5703125" customWidth="1" style="32" min="1" max="3"/>
    <col width="130.5703125" customWidth="1" style="32" min="4" max="4"/>
    <col width="15.7109375" customWidth="1" style="32" min="5" max="5"/>
    <col width="8.42578125" customWidth="1" style="32" min="6" max="6"/>
    <col width="17.28515625" customWidth="1" style="32" min="7" max="8"/>
  </cols>
  <sheetData>
    <row r="1" ht="24.75" customHeight="1" s="32">
      <c r="A1" s="89" t="n"/>
      <c r="B1" s="90" t="n"/>
      <c r="C1" s="91" t="n"/>
      <c r="D1" s="92" t="inlineStr">
        <is>
          <t>UNIVERSIDADE FEDERAL DO PARÁ - UFPA</t>
        </is>
      </c>
      <c r="E1" s="93" t="n"/>
      <c r="F1" s="94" t="n"/>
      <c r="G1" s="95" t="n"/>
      <c r="H1" s="91" t="n"/>
    </row>
    <row r="2" ht="24.75" customHeight="1" s="32">
      <c r="A2" s="96" t="n"/>
      <c r="C2" s="97" t="n"/>
      <c r="D2" s="92" t="inlineStr">
        <is>
          <t>PREFEITURA MULTICAMPI</t>
        </is>
      </c>
      <c r="E2" s="93" t="n"/>
      <c r="F2" s="94" t="n"/>
      <c r="G2" s="96" t="n"/>
      <c r="H2" s="97" t="n"/>
    </row>
    <row r="3" ht="24.75" customHeight="1" s="32">
      <c r="A3" s="96" t="n"/>
      <c r="C3" s="97" t="n"/>
      <c r="D3" s="92" t="inlineStr">
        <is>
          <t>DIRETORIA DE ESPAÇO FÍSICO - DIESF</t>
        </is>
      </c>
      <c r="E3" s="93" t="n"/>
      <c r="F3" s="94" t="n"/>
      <c r="G3" s="96" t="n"/>
      <c r="H3" s="97" t="n"/>
    </row>
    <row r="4" ht="24.75" customHeight="1" s="32">
      <c r="A4" s="96" t="n"/>
      <c r="C4" s="97" t="n"/>
      <c r="D4" s="92" t="inlineStr">
        <is>
          <t>COORDENADORIA DE MANUTENÇÃO PREDIAL - CMP</t>
        </is>
      </c>
      <c r="E4" s="93" t="n"/>
      <c r="F4" s="94" t="n"/>
      <c r="G4" s="96" t="n"/>
      <c r="H4" s="97" t="n"/>
    </row>
    <row r="5" ht="24.75" customHeight="1" s="32">
      <c r="A5" s="98" t="n"/>
      <c r="B5" s="99" t="n"/>
      <c r="C5" s="100" t="n"/>
      <c r="D5" s="101" t="inlineStr">
        <is>
          <t>CONTRATO Nº 12/2023 - SUP SERVIÇOS (CNPJ: 04.465.383/0002-05)</t>
        </is>
      </c>
      <c r="E5" s="93" t="n"/>
      <c r="F5" s="94" t="n"/>
      <c r="G5" s="98" t="n"/>
      <c r="H5" s="100" t="n"/>
    </row>
    <row r="6" ht="3.75" customHeight="1" s="32">
      <c r="A6" s="102" t="n"/>
      <c r="B6" s="93" t="n"/>
      <c r="C6" s="93" t="n"/>
      <c r="D6" s="93" t="n"/>
      <c r="E6" s="93" t="n"/>
      <c r="F6" s="93" t="n"/>
      <c r="G6" s="93" t="n"/>
      <c r="H6" s="94" t="n"/>
    </row>
    <row r="7" ht="24.75" customHeight="1" s="32">
      <c r="A7" s="103" t="inlineStr">
        <is>
          <t>SETOR DEMANDANTE</t>
        </is>
      </c>
      <c r="B7" s="93" t="n"/>
      <c r="C7" s="93" t="n"/>
      <c r="D7" s="93" t="n"/>
      <c r="E7" s="93" t="n"/>
      <c r="F7" s="93" t="n"/>
      <c r="G7" s="93" t="n"/>
      <c r="H7" s="94" t="n"/>
    </row>
    <row r="8" ht="24.75" customHeight="1" s="32">
      <c r="A8" s="104" t="inlineStr">
        <is>
          <t>CAMPUS: CASTANHAL</t>
        </is>
      </c>
      <c r="B8" s="93" t="n"/>
      <c r="C8" s="93" t="n"/>
      <c r="D8" s="93" t="n"/>
      <c r="E8" s="93" t="n"/>
      <c r="F8" s="93" t="n"/>
      <c r="G8" s="93" t="n"/>
      <c r="H8" s="94" t="n"/>
    </row>
    <row r="9" ht="24.75" customHeight="1" s="32">
      <c r="A9" s="105" t="inlineStr">
        <is>
          <t>SETOR:  CEBN</t>
        </is>
      </c>
      <c r="B9" s="93" t="n"/>
      <c r="C9" s="93" t="n"/>
      <c r="D9" s="93" t="n"/>
      <c r="E9" s="106" t="inlineStr">
        <is>
          <t>TELEFONE: (XX) XXXXX-XXXX</t>
        </is>
      </c>
      <c r="F9" s="90" t="n"/>
      <c r="G9" s="90" t="n"/>
      <c r="H9" s="91" t="n"/>
    </row>
    <row r="10" ht="24.75" customHeight="1" s="32">
      <c r="A10" s="107" t="inlineStr">
        <is>
          <t>SERVIDOR: TESTSERVIDOR</t>
        </is>
      </c>
      <c r="B10" s="93" t="n"/>
      <c r="C10" s="93" t="n"/>
      <c r="D10" s="93" t="n"/>
      <c r="E10" s="26" t="inlineStr">
        <is>
          <t>EMAIL: XXXXXXXXXX@UFPA.BR</t>
        </is>
      </c>
      <c r="F10" s="93" t="n"/>
      <c r="G10" s="93" t="n"/>
      <c r="H10" s="94" t="n"/>
    </row>
    <row r="11" ht="3.75" customHeight="1" s="32">
      <c r="A11" s="102" t="n"/>
      <c r="B11" s="93" t="n"/>
      <c r="C11" s="93" t="n"/>
      <c r="D11" s="93" t="n"/>
      <c r="E11" s="93" t="n"/>
      <c r="F11" s="93" t="n"/>
      <c r="G11" s="93" t="n"/>
      <c r="H11" s="94" t="n"/>
    </row>
    <row r="12" ht="24.75" customHeight="1" s="32">
      <c r="A12" s="108" t="inlineStr">
        <is>
          <t>COORD. DE MANUTENÇÃO</t>
        </is>
      </c>
      <c r="B12" s="93" t="n"/>
      <c r="C12" s="93" t="n"/>
      <c r="D12" s="93" t="n"/>
      <c r="E12" s="93" t="n"/>
      <c r="F12" s="93" t="n"/>
      <c r="G12" s="93" t="n"/>
      <c r="H12" s="94" t="n"/>
    </row>
    <row r="13" ht="24.75" customHeight="1" s="32">
      <c r="A13" s="104" t="inlineStr">
        <is>
          <t>ORÇAMENTO ELABORADO POR: LUCAS ROSA</t>
        </is>
      </c>
      <c r="B13" s="93" t="n"/>
      <c r="C13" s="93" t="n"/>
      <c r="D13" s="93" t="n"/>
      <c r="E13" s="93" t="n"/>
      <c r="F13" s="93" t="n"/>
      <c r="G13" s="93" t="n"/>
      <c r="H13" s="94" t="n"/>
    </row>
    <row r="14" ht="24.75" customHeight="1" s="32">
      <c r="A14" s="109" t="inlineStr">
        <is>
          <t>ESTAGIÁRIO: LEONARDO KAUA</t>
        </is>
      </c>
      <c r="B14" s="93" t="n"/>
      <c r="C14" s="93" t="n"/>
      <c r="D14" s="93" t="n"/>
      <c r="E14" s="93" t="n"/>
      <c r="F14" s="93" t="n"/>
      <c r="G14" s="93" t="n"/>
      <c r="H14" s="94" t="n"/>
    </row>
    <row r="15" ht="24.75" customHeight="1" s="32">
      <c r="A15" s="110" t="inlineStr">
        <is>
          <t>DESCRIÇÃO:</t>
        </is>
      </c>
      <c r="B15" s="91" t="n"/>
      <c r="C15" s="111" t="inlineStr">
        <is>
          <t>WWWWWWWWWWWWWWWWWWWWWWWWW</t>
        </is>
      </c>
      <c r="D15" s="90" t="n"/>
      <c r="E15" s="90" t="n"/>
      <c r="F15" s="90" t="n"/>
      <c r="G15" s="90" t="n"/>
      <c r="H15" s="91" t="n"/>
    </row>
    <row r="16" ht="24.75" customHeight="1" s="32">
      <c r="A16" s="96" t="n"/>
      <c r="B16" s="97" t="n"/>
      <c r="C16" s="96" t="n"/>
      <c r="H16" s="97" t="n"/>
    </row>
    <row r="17" ht="24.75" customHeight="1" s="32">
      <c r="A17" s="98" t="n"/>
      <c r="B17" s="100" t="n"/>
      <c r="C17" s="98" t="n"/>
      <c r="D17" s="99" t="n"/>
      <c r="E17" s="99" t="n"/>
      <c r="F17" s="99" t="n"/>
      <c r="G17" s="99" t="n"/>
      <c r="H17" s="100" t="n"/>
    </row>
    <row r="18" ht="24.75" customHeight="1" s="32">
      <c r="A18" s="112" t="inlineStr">
        <is>
          <t>DATA DE ELABORAÇÃO DO ORÇAMENTO: wwwwwww (VALIDADE: 45 DIAS)</t>
        </is>
      </c>
      <c r="B18" s="93" t="n"/>
      <c r="C18" s="93" t="n"/>
      <c r="D18" s="94" t="n"/>
      <c r="E18" s="112" t="inlineStr">
        <is>
          <t>CÓDIGO ORÇAFASCIO:  333333333333333</t>
        </is>
      </c>
      <c r="F18" s="93" t="n"/>
      <c r="G18" s="94" t="n"/>
      <c r="H18" s="2" t="inlineStr">
        <is>
          <t>VERSÃO: R.01</t>
        </is>
      </c>
    </row>
    <row r="19" ht="3.75" customHeight="1" s="32">
      <c r="A19" s="102" t="n"/>
      <c r="B19" s="93" t="n"/>
      <c r="C19" s="93" t="n"/>
      <c r="D19" s="93" t="n"/>
      <c r="E19" s="93" t="n"/>
      <c r="F19" s="93" t="n"/>
      <c r="G19" s="93" t="n"/>
      <c r="H19" s="94" t="n"/>
    </row>
    <row r="20" ht="24.75" customHeight="1" s="32">
      <c r="A20" s="113" t="inlineStr">
        <is>
          <t xml:space="preserve">ORDEM DE SERVIÇO: </t>
        </is>
      </c>
      <c r="B20" s="91" t="n"/>
      <c r="C20" s="114" t="inlineStr">
        <is>
          <t>Nº XX</t>
        </is>
      </c>
      <c r="D20" s="68" t="inlineStr">
        <is>
          <t>DATA DE EMISSÃO: XX/XX/XXXX</t>
        </is>
      </c>
      <c r="E20" s="68" t="inlineStr">
        <is>
          <t>PRAZO: XXXXX</t>
        </is>
      </c>
      <c r="F20" s="94" t="n"/>
      <c r="G20" s="68" t="inlineStr">
        <is>
          <t>EMPENHO: XXXXXXXXXX</t>
        </is>
      </c>
      <c r="H20" s="94" t="n"/>
    </row>
    <row r="21" ht="24.75" customHeight="1" s="32">
      <c r="A21" s="96" t="n"/>
      <c r="B21" s="97" t="n"/>
      <c r="C21" s="115" t="n"/>
      <c r="D21" s="4" t="inlineStr">
        <is>
          <t>DATA DE INÍCIO: XX/XX/XXXX</t>
        </is>
      </c>
      <c r="E21" s="116" t="inlineStr">
        <is>
          <t>NÚMERO DO PROCESSO:  333333333333333</t>
        </is>
      </c>
      <c r="F21" s="93" t="n"/>
      <c r="G21" s="93" t="n"/>
      <c r="H21" s="94" t="n"/>
    </row>
    <row r="22" ht="24.75" customHeight="1" s="32">
      <c r="A22" s="98" t="n"/>
      <c r="B22" s="100" t="n"/>
      <c r="C22" s="117" t="n"/>
      <c r="D22" s="116" t="inlineStr">
        <is>
          <t>FISCAL DO SERVIÇO: LUCAS ROSA</t>
        </is>
      </c>
      <c r="E22" s="93" t="n"/>
      <c r="F22" s="93" t="n"/>
      <c r="G22" s="93" t="n"/>
      <c r="H22" s="94" t="n"/>
    </row>
    <row r="23" ht="3.75" customHeight="1" s="32">
      <c r="A23" s="102" t="n"/>
      <c r="B23" s="93" t="n"/>
      <c r="C23" s="93" t="n"/>
      <c r="D23" s="93" t="n"/>
      <c r="E23" s="93" t="n"/>
      <c r="F23" s="93" t="n"/>
      <c r="G23" s="93" t="n"/>
      <c r="H23" s="94" t="n"/>
    </row>
    <row r="24" ht="15.75" customHeight="1" s="32">
      <c r="A24" s="5" t="inlineStr">
        <is>
          <t>Item</t>
        </is>
      </c>
      <c r="B24" s="6" t="inlineStr">
        <is>
          <t>Código</t>
        </is>
      </c>
      <c r="C24" s="6" t="inlineStr">
        <is>
          <t>Banco</t>
        </is>
      </c>
      <c r="D24" s="6" t="inlineStr">
        <is>
          <t>Descrição</t>
        </is>
      </c>
      <c r="E24" s="6" t="inlineStr">
        <is>
          <t>Und</t>
        </is>
      </c>
      <c r="F24" s="7" t="inlineStr">
        <is>
          <t>Quant.</t>
        </is>
      </c>
      <c r="G24" s="8" t="inlineStr">
        <is>
          <t>Valor Unit</t>
        </is>
      </c>
      <c r="H24" s="8" t="inlineStr">
        <is>
          <t>Total</t>
        </is>
      </c>
    </row>
    <row r="25" ht="18" customHeight="1" s="32">
      <c r="A25" s="118" t="n">
        <v>1</v>
      </c>
      <c r="B25" s="119" t="inlineStr">
        <is>
          <t>  </t>
        </is>
      </c>
      <c r="C25" s="119" t="n">
        <v/>
      </c>
      <c r="D25" s="120" t="inlineStr">
        <is>
          <t>GRADIL EM PORTAS</t>
        </is>
      </c>
      <c r="E25" s="119" t="n"/>
      <c r="F25" s="121" t="n"/>
      <c r="G25" s="122" t="n"/>
      <c r="H25" s="123">
        <f>SUBTOTAL(9, H26:H30)</f>
        <v/>
      </c>
    </row>
    <row r="26" ht="18" customHeight="1" s="32">
      <c r="A26" s="124" t="n">
        <v>1.1</v>
      </c>
      <c r="B26" s="125" t="inlineStr">
        <is>
          <t xml:space="preserve"> 356569 </t>
        </is>
      </c>
      <c r="C26" s="125" t="inlineStr">
        <is>
          <t>Próprio</t>
        </is>
      </c>
      <c r="D26" s="126" t="inlineStr">
        <is>
          <t>Copia da SBC (111230) - PORTA GRADE FERRO 1 FL.1,00x2,10m</t>
        </is>
      </c>
      <c r="E26" s="125" t="inlineStr">
        <is>
          <t>UN</t>
        </is>
      </c>
      <c r="F26" s="127" t="n">
        <v>7</v>
      </c>
      <c r="G26" s="128" t="n">
        <v>825.4299999999999</v>
      </c>
      <c r="H26" s="129">
        <f>F26*G26</f>
        <v/>
      </c>
    </row>
    <row r="27" ht="45" customHeight="1" s="32">
      <c r="A27" s="124" t="n">
        <v>1.2</v>
      </c>
      <c r="B27" s="125" t="inlineStr">
        <is>
          <t xml:space="preserve"> 100760 </t>
        </is>
      </c>
      <c r="C27" s="125" t="inlineStr">
        <is>
          <t>SINAPI</t>
        </is>
      </c>
      <c r="D27" s="126" t="inlineStr">
        <is>
          <t>PINTURA COM TINTA ALQUÍDICA DE ACABAMENTO (ESMALTE SINTÉTICO BRILHANTE) APLICADA A ROLO OU PINCEL SOBRE SUPERFÍCIES METÁLICAS (EXCETO PERFIL) EXECUTADO EM OBRA (02 DEMÃOS). AF_01/2020</t>
        </is>
      </c>
      <c r="E27" s="125" t="inlineStr">
        <is>
          <t>m²</t>
        </is>
      </c>
      <c r="F27" s="127" t="n">
        <v>14.7</v>
      </c>
      <c r="G27" s="128" t="n">
        <v>54.97</v>
      </c>
      <c r="H27" s="129">
        <f>F27*G27</f>
        <v/>
      </c>
    </row>
    <row r="28" ht="30" customHeight="1" s="32">
      <c r="A28" s="124" t="n">
        <v>1.3</v>
      </c>
      <c r="B28" s="125" t="inlineStr">
        <is>
          <t xml:space="preserve"> 100704 </t>
        </is>
      </c>
      <c r="C28" s="125" t="inlineStr">
        <is>
          <t>SINAPI</t>
        </is>
      </c>
      <c r="D28" s="126" t="inlineStr">
        <is>
          <t>PORTA CADEADO ZINCADO OXIDADO PRETO COM CADEADO DE AÇO INOX, LARGURA DE *50* MM. AF_12/2019</t>
        </is>
      </c>
      <c r="E28" s="125" t="inlineStr">
        <is>
          <t>UN</t>
        </is>
      </c>
      <c r="F28" s="127" t="n">
        <v>14</v>
      </c>
      <c r="G28" s="128" t="n">
        <v>74.93000000000001</v>
      </c>
      <c r="H28" s="129">
        <f>F28*G28</f>
        <v/>
      </c>
    </row>
    <row r="29" ht="30" customHeight="1" s="32">
      <c r="A29" s="124" t="n">
        <v>1.4</v>
      </c>
      <c r="B29" s="125" t="inlineStr">
        <is>
          <t xml:space="preserve"> 88497 </t>
        </is>
      </c>
      <c r="C29" s="125" t="inlineStr">
        <is>
          <t>SINAPI</t>
        </is>
      </c>
      <c r="D29" s="126" t="inlineStr">
        <is>
          <t>EMASSAMENTO COM MASSA LÁTEX, APLICAÇÃO EM PAREDE, DUAS DEMÃOS, LIXAMENTO MANUAL. AF_04/2023</t>
        </is>
      </c>
      <c r="E29" s="125" t="inlineStr">
        <is>
          <t>m²</t>
        </is>
      </c>
      <c r="F29" s="127" t="n">
        <v>1</v>
      </c>
      <c r="G29" s="128" t="n">
        <v>18.48</v>
      </c>
      <c r="H29" s="129">
        <f>F29*G29</f>
        <v/>
      </c>
    </row>
    <row r="30" ht="18" customHeight="1" s="32">
      <c r="A30" s="124" t="n">
        <v>1.5</v>
      </c>
      <c r="B30" s="125" t="inlineStr">
        <is>
          <t xml:space="preserve"> 88489 </t>
        </is>
      </c>
      <c r="C30" s="125" t="inlineStr">
        <is>
          <t>SINAPI</t>
        </is>
      </c>
      <c r="D30" s="126" t="inlineStr">
        <is>
          <t>PINTURA LÁTEX ACRÍLICA PREMIUM, APLICAÇÃO MANUAL EM PAREDES, DUAS DEMÃOS. AF_04/2023</t>
        </is>
      </c>
      <c r="E30" s="125" t="inlineStr">
        <is>
          <t>m²</t>
        </is>
      </c>
      <c r="F30" s="127" t="n">
        <v>1</v>
      </c>
      <c r="G30" s="128" t="n">
        <v>14.49</v>
      </c>
      <c r="H30" s="129">
        <f>F30*G30</f>
        <v/>
      </c>
    </row>
    <row r="31" ht="18" customFormat="1" customHeight="1" s="84" thickBot="1">
      <c r="A31" s="130" t="n">
        <v>2</v>
      </c>
      <c r="B31" s="119" t="inlineStr">
        <is>
          <t>  </t>
        </is>
      </c>
      <c r="C31" s="119" t="n">
        <v/>
      </c>
      <c r="D31" s="120" t="inlineStr">
        <is>
          <t>APOIO À OBRA</t>
        </is>
      </c>
      <c r="E31" s="119" t="n"/>
      <c r="F31" s="119" t="n"/>
      <c r="G31" s="119" t="n"/>
      <c r="H31" s="123">
        <f>SUBTOTAL(9, H32:H32)</f>
        <v/>
      </c>
    </row>
    <row r="32" ht="18" customFormat="1" customHeight="1" s="84" thickBot="1">
      <c r="A32" s="131" t="n">
        <v>2.1</v>
      </c>
      <c r="B32" s="125" t="inlineStr">
        <is>
          <t xml:space="preserve"> 90776 </t>
        </is>
      </c>
      <c r="C32" s="125" t="inlineStr">
        <is>
          <t>SINAPI</t>
        </is>
      </c>
      <c r="D32" s="126" t="inlineStr">
        <is>
          <t>ENCARREGADO GERAL COM ENCARGOS COMPLEMENTARES</t>
        </is>
      </c>
      <c r="E32" s="125" t="inlineStr">
        <is>
          <t>H</t>
        </is>
      </c>
      <c r="F32" s="127" t="n">
        <v>23.57</v>
      </c>
      <c r="G32" s="128" t="n">
        <v>26.02</v>
      </c>
      <c r="H32" s="129">
        <f>F32*G32</f>
        <v/>
      </c>
    </row>
    <row r="33" ht="30" customFormat="1" customHeight="1" s="84">
      <c r="A33" s="132" t="inlineStr">
        <is>
          <t>Total sem BDI:</t>
        </is>
      </c>
      <c r="B33" s="99" t="n"/>
      <c r="C33" s="99" t="n"/>
      <c r="D33" s="99" t="n"/>
      <c r="E33" s="99" t="n"/>
      <c r="F33" s="99" t="n"/>
      <c r="G33" s="100" t="n"/>
      <c r="H33" s="133">
        <f>SUBTOTAL(9, H25:H32)</f>
        <v/>
      </c>
    </row>
    <row r="34" ht="30" customFormat="1" customHeight="1" s="84">
      <c r="A34" s="134" t="inlineStr">
        <is>
          <t>Total do BDI(28,82%):</t>
        </is>
      </c>
      <c r="B34" s="93" t="n"/>
      <c r="C34" s="93" t="n"/>
      <c r="D34" s="93" t="n"/>
      <c r="E34" s="93" t="n"/>
      <c r="F34" s="93" t="n"/>
      <c r="G34" s="94" t="n"/>
      <c r="H34" s="133">
        <f>H33*0.2882</f>
        <v/>
      </c>
    </row>
    <row r="35" ht="30" customFormat="1" customHeight="1" s="84">
      <c r="A35" s="134" t="inlineStr">
        <is>
          <t>Total Geral:</t>
        </is>
      </c>
      <c r="B35" s="93" t="n"/>
      <c r="C35" s="93" t="n"/>
      <c r="D35" s="93" t="n"/>
      <c r="E35" s="93" t="n"/>
      <c r="F35" s="93" t="n"/>
      <c r="G35" s="94" t="n"/>
      <c r="H35" s="133">
        <f>H33+H34</f>
        <v/>
      </c>
    </row>
    <row r="36" ht="30" customFormat="1" customHeight="1" s="84">
      <c r="A36" s="134" t="inlineStr">
        <is>
          <t>Valor do Desconto em ATA (19%):</t>
        </is>
      </c>
      <c r="B36" s="93" t="n"/>
      <c r="C36" s="93" t="n"/>
      <c r="D36" s="93" t="n"/>
      <c r="E36" s="93" t="n"/>
      <c r="F36" s="93" t="n"/>
      <c r="G36" s="94" t="n"/>
      <c r="H36" s="133">
        <f>H35*0.19</f>
        <v/>
      </c>
    </row>
    <row r="37" ht="30" customFormat="1" customHeight="1" s="84">
      <c r="A37" s="134" t="inlineStr">
        <is>
          <t>Total Geral com Desconto:</t>
        </is>
      </c>
      <c r="B37" s="93" t="n"/>
      <c r="C37" s="93" t="n"/>
      <c r="D37" s="93" t="n"/>
      <c r="E37" s="93" t="n"/>
      <c r="F37" s="93" t="n"/>
      <c r="G37" s="94" t="n"/>
      <c r="H37" s="133">
        <f>H35-H36</f>
        <v/>
      </c>
    </row>
    <row r="38" ht="3.75" customFormat="1" customHeight="1" s="84">
      <c r="A38" s="135" t="n"/>
      <c r="B38" s="90" t="n"/>
      <c r="C38" s="90" t="n"/>
      <c r="D38" s="90" t="n"/>
      <c r="E38" s="90" t="n"/>
      <c r="F38" s="90" t="n"/>
      <c r="G38" s="90" t="n"/>
      <c r="H38" s="91" t="n"/>
    </row>
    <row r="39" ht="15.75" customFormat="1" customHeight="1" s="84">
      <c r="A39" s="136" t="inlineStr">
        <is>
          <t>RELATÓRIO FOTOGRÁFICO</t>
        </is>
      </c>
      <c r="B39" s="137" t="n"/>
      <c r="C39" s="137" t="n"/>
      <c r="D39" s="137" t="n"/>
      <c r="E39" s="137" t="n"/>
      <c r="F39" s="137" t="n"/>
      <c r="G39" s="137" t="n"/>
      <c r="H39" s="138" t="n"/>
    </row>
    <row r="40" customFormat="1" s="84">
      <c r="A40" s="139" t="n"/>
      <c r="B40" s="137" t="n"/>
      <c r="C40" s="137" t="n"/>
      <c r="D40" s="137" t="n"/>
      <c r="E40" s="137" t="n"/>
      <c r="F40" s="137" t="n"/>
      <c r="G40" s="137" t="n"/>
      <c r="H40" s="138" t="n"/>
    </row>
    <row r="41" ht="15" customFormat="1" customHeight="1" s="84">
      <c r="A41" s="140" t="n"/>
      <c r="H41" s="141" t="n"/>
    </row>
    <row r="42" ht="15" customFormat="1" customHeight="1" s="84">
      <c r="A42" s="140" t="n"/>
      <c r="H42" s="141" t="n"/>
    </row>
    <row r="43" ht="15" customFormat="1" customHeight="1" s="84">
      <c r="A43" s="140" t="n"/>
      <c r="H43" s="141" t="n"/>
    </row>
    <row r="44" ht="15" customFormat="1" customHeight="1" s="84">
      <c r="A44" s="140" t="n"/>
      <c r="H44" s="141" t="n"/>
    </row>
    <row r="45" ht="15" customFormat="1" customHeight="1" s="84">
      <c r="A45" s="140" t="n"/>
      <c r="H45" s="141" t="n"/>
    </row>
    <row r="46" ht="15" customFormat="1" customHeight="1" s="84">
      <c r="A46" s="140" t="n"/>
      <c r="H46" s="141" t="n"/>
    </row>
    <row r="47" ht="15" customFormat="1" customHeight="1" s="84">
      <c r="A47" s="140" t="n"/>
      <c r="H47" s="141" t="n"/>
    </row>
    <row r="48" ht="15" customFormat="1" customHeight="1" s="84">
      <c r="A48" s="140" t="n"/>
      <c r="H48" s="141" t="n"/>
    </row>
    <row r="49" ht="15" customFormat="1" customHeight="1" s="84">
      <c r="A49" s="140" t="n"/>
      <c r="H49" s="141" t="n"/>
    </row>
    <row r="50" ht="15" customFormat="1" customHeight="1" s="84">
      <c r="A50" s="140" t="n"/>
      <c r="H50" s="141" t="n"/>
    </row>
    <row r="51" ht="15" customFormat="1" customHeight="1" s="84" thickBot="1">
      <c r="A51" s="140" t="n"/>
      <c r="H51" s="141" t="n"/>
    </row>
    <row r="52" ht="15" customHeight="1" s="32">
      <c r="A52" s="140" t="n"/>
      <c r="H52" s="141" t="n"/>
    </row>
    <row r="53" ht="15" customHeight="1" s="32">
      <c r="A53" s="140" t="n"/>
      <c r="H53" s="141" t="n"/>
    </row>
    <row r="54" ht="15" customHeight="1" s="32">
      <c r="A54" s="140" t="n"/>
      <c r="H54" s="141" t="n"/>
    </row>
    <row r="55" ht="15" customHeight="1" s="32">
      <c r="A55" s="140" t="n"/>
      <c r="H55" s="141" t="n"/>
    </row>
    <row r="56" ht="15" customHeight="1" s="32">
      <c r="A56" s="140" t="n"/>
      <c r="H56" s="141" t="n"/>
    </row>
    <row r="57" ht="15" customHeight="1" s="32">
      <c r="A57" s="140" t="n"/>
      <c r="H57" s="141" t="n"/>
    </row>
    <row r="58" ht="15" customHeight="1" s="32">
      <c r="A58" s="142" t="n"/>
      <c r="B58" s="143" t="n"/>
      <c r="C58" s="143" t="n"/>
      <c r="D58" s="143" t="n"/>
      <c r="E58" s="143" t="n"/>
      <c r="F58" s="143" t="n"/>
      <c r="G58" s="143" t="n"/>
      <c r="H58" s="144" t="n"/>
    </row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  <row r="1001" ht="15.75" customHeight="1" s="32"/>
    <row r="1002" ht="15.75" customHeight="1" s="32"/>
    <row r="1003" ht="15.75" customHeight="1" s="32"/>
    <row r="1004" ht="15.75" customHeight="1" s="32"/>
    <row r="1005" ht="15.75" customHeight="1" s="32"/>
    <row r="1006" ht="15.75" customHeight="1" s="32"/>
    <row r="1007" ht="15.75" customHeight="1" s="32"/>
    <row r="1008" ht="15.75" customHeight="1" s="32"/>
    <row r="1009" ht="15.75" customHeight="1" s="32"/>
    <row r="1010" ht="15.75" customHeight="1" s="32"/>
    <row r="1011" ht="15.75" customHeight="1" s="32"/>
    <row r="1012" ht="15.75" customHeight="1" s="32"/>
  </sheetData>
  <mergeCells count="38">
    <mergeCell ref="D2:F2"/>
    <mergeCell ref="A1:C5"/>
    <mergeCell ref="A39:H39"/>
    <mergeCell ref="A15:B17"/>
    <mergeCell ref="A35:G35"/>
    <mergeCell ref="A11:H11"/>
    <mergeCell ref="A10:D10"/>
    <mergeCell ref="D22:H22"/>
    <mergeCell ref="A6:H6"/>
    <mergeCell ref="A9:D9"/>
    <mergeCell ref="E20:F20"/>
    <mergeCell ref="A7:H7"/>
    <mergeCell ref="D4:F4"/>
    <mergeCell ref="A34:G34"/>
    <mergeCell ref="E21:H21"/>
    <mergeCell ref="D3:F3"/>
    <mergeCell ref="A12:H12"/>
    <mergeCell ref="A36:G36"/>
    <mergeCell ref="D5:F5"/>
    <mergeCell ref="C20:C22"/>
    <mergeCell ref="E18:G18"/>
    <mergeCell ref="A14:H14"/>
    <mergeCell ref="A23:H23"/>
    <mergeCell ref="E10:H10"/>
    <mergeCell ref="D1:F1"/>
    <mergeCell ref="A8:H8"/>
    <mergeCell ref="A37:G37"/>
    <mergeCell ref="A18:D18"/>
    <mergeCell ref="G20:H20"/>
    <mergeCell ref="E9:H9"/>
    <mergeCell ref="A20:B22"/>
    <mergeCell ref="A38:H38"/>
    <mergeCell ref="A19:H19"/>
    <mergeCell ref="A13:H13"/>
    <mergeCell ref="A40:H58"/>
    <mergeCell ref="C15:H17"/>
    <mergeCell ref="G1:H5"/>
    <mergeCell ref="A33:G33"/>
  </mergeCells>
  <printOptions horizontalCentered="1"/>
  <pageMargins left="0.1968503937007874" right="0.1968503937007874" top="0.1968503937007874" bottom="0.3123315762491292" header="0" footer="0"/>
  <pageSetup orientation="landscape" paperSize="9" scale="6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ESTAGIÁRIOS</dc:creator>
  <dcterms:created xsi:type="dcterms:W3CDTF">2025-08-29T13:52:29Z</dcterms:created>
  <dcterms:modified xsi:type="dcterms:W3CDTF">2026-01-09T21:46:46Z</dcterms:modified>
  <cp:lastModifiedBy>ESTAGIÁRIOS</cp:lastModifiedBy>
</cp:coreProperties>
</file>